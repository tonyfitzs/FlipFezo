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FlipIQ\FlipFezo\SawMyint\"/>
    </mc:Choice>
  </mc:AlternateContent>
  <xr:revisionPtr revIDLastSave="0" documentId="13_ncr:1_{DE5F6FCB-8D08-493E-8A63-00828F333D68}" xr6:coauthVersionLast="47" xr6:coauthVersionMax="47" xr10:uidLastSave="{00000000-0000-0000-0000-000000000000}"/>
  <bookViews>
    <workbookView xWindow="28680" yWindow="-1290" windowWidth="38640" windowHeight="21240" xr2:uid="{00000000-000D-0000-FFFF-FFFF00000000}"/>
  </bookViews>
  <sheets>
    <sheet name="FlipFezo Test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1" l="1"/>
  <c r="Y3" i="1"/>
  <c r="U3" i="1"/>
  <c r="T3" i="1"/>
  <c r="V3" i="1" s="1"/>
  <c r="W3" i="1" s="1"/>
  <c r="X3" i="1" s="1"/>
  <c r="Z2" i="1"/>
  <c r="Y2" i="1"/>
  <c r="U2" i="1"/>
  <c r="T2" i="1"/>
  <c r="V2" i="1" s="1"/>
  <c r="W2" i="1" s="1"/>
  <c r="X2" i="1" s="1"/>
  <c r="AB2" i="1"/>
  <c r="AA3" i="1"/>
  <c r="AA2" i="1"/>
  <c r="AB3" i="1"/>
</calcChain>
</file>

<file path=xl/sharedStrings.xml><?xml version="1.0" encoding="utf-8"?>
<sst xmlns="http://schemas.openxmlformats.org/spreadsheetml/2006/main" count="42" uniqueCount="41">
  <si>
    <t>Client name</t>
  </si>
  <si>
    <t>Client email</t>
  </si>
  <si>
    <t>Client website</t>
  </si>
  <si>
    <t>Client address</t>
  </si>
  <si>
    <t>Client contribution</t>
  </si>
  <si>
    <t>Loan amount</t>
  </si>
  <si>
    <t>Term months</t>
  </si>
  <si>
    <t>Extension</t>
  </si>
  <si>
    <t>Extension months</t>
  </si>
  <si>
    <t>Interest rate %</t>
  </si>
  <si>
    <t>Purchase price</t>
  </si>
  <si>
    <t>State</t>
  </si>
  <si>
    <t>Rate decimal</t>
  </si>
  <si>
    <t>Term years</t>
  </si>
  <si>
    <t>Monthly interest</t>
  </si>
  <si>
    <t>Total interest</t>
  </si>
  <si>
    <t>Total repayable</t>
  </si>
  <si>
    <t>Stamp duty</t>
  </si>
  <si>
    <t>Legal costs</t>
  </si>
  <si>
    <t>Total fees</t>
  </si>
  <si>
    <t>All-in cost</t>
  </si>
  <si>
    <t>Alpha Test Holdings</t>
  </si>
  <si>
    <t>0400123456</t>
  </si>
  <si>
    <t>alpha@test.dev</t>
  </si>
  <si>
    <t>https://alpha.dev</t>
  </si>
  <si>
    <t>12 Sample St NSW</t>
  </si>
  <si>
    <t>Yes</t>
  </si>
  <si>
    <t>NSW</t>
  </si>
  <si>
    <t>Beta Placeholder Group</t>
  </si>
  <si>
    <t>0411222333</t>
  </si>
  <si>
    <t>beta@test.dev</t>
  </si>
  <si>
    <t>https://beta.dev</t>
  </si>
  <si>
    <t>88 Demo Rd VIC</t>
  </si>
  <si>
    <t>No</t>
  </si>
  <si>
    <t>contact surname</t>
  </si>
  <si>
    <t>contact firstname</t>
  </si>
  <si>
    <t>contact direct line number</t>
  </si>
  <si>
    <t>contact email</t>
  </si>
  <si>
    <t>Proposed aquasition address</t>
  </si>
  <si>
    <t>Proposed aquasition price</t>
  </si>
  <si>
    <t>Proposed aquasition 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</si>
</sst>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"/>
  <sheetViews>
    <sheetView tabSelected="1" topLeftCell="E1" workbookViewId="0">
      <selection activeCell="L16" sqref="L16"/>
    </sheetView>
  </sheetViews>
  <sheetFormatPr defaultRowHeight="15" x14ac:dyDescent="0.25"/>
  <cols>
    <col min="1" max="1" width="22.28515625" bestFit="1" customWidth="1"/>
    <col min="2" max="2" width="24.7109375" bestFit="1" customWidth="1"/>
    <col min="3" max="3" width="16.5703125" bestFit="1" customWidth="1"/>
    <col min="4" max="4" width="15.7109375" bestFit="1" customWidth="1"/>
    <col min="5" max="5" width="12.85546875" bestFit="1" customWidth="1"/>
    <col min="6" max="6" width="15.140625" bestFit="1" customWidth="1"/>
    <col min="7" max="7" width="16.7109375" bestFit="1" customWidth="1"/>
    <col min="8" max="8" width="17" bestFit="1" customWidth="1"/>
    <col min="9" max="9" width="27" bestFit="1" customWidth="1"/>
    <col min="10" max="10" width="24.42578125" bestFit="1" customWidth="1"/>
    <col min="11" max="11" width="28.42578125" bestFit="1" customWidth="1"/>
    <col min="12" max="12" width="18" bestFit="1" customWidth="1"/>
    <col min="13" max="13" width="12.42578125" bestFit="1" customWidth="1"/>
    <col min="14" max="14" width="12.7109375" bestFit="1" customWidth="1"/>
    <col min="15" max="15" width="9.7109375" bestFit="1" customWidth="1"/>
    <col min="16" max="16" width="17" bestFit="1" customWidth="1"/>
    <col min="17" max="17" width="14.140625" bestFit="1" customWidth="1"/>
    <col min="18" max="18" width="14" bestFit="1" customWidth="1"/>
    <col min="19" max="19" width="5.5703125" bestFit="1" customWidth="1"/>
    <col min="20" max="20" width="12.42578125" bestFit="1" customWidth="1"/>
    <col min="21" max="21" width="10.7109375" bestFit="1" customWidth="1"/>
    <col min="22" max="22" width="16" bestFit="1" customWidth="1"/>
    <col min="23" max="23" width="12.85546875" bestFit="1" customWidth="1"/>
    <col min="24" max="24" width="14.85546875" bestFit="1" customWidth="1"/>
    <col min="25" max="25" width="11" bestFit="1" customWidth="1"/>
    <col min="26" max="26" width="10.42578125" bestFit="1" customWidth="1"/>
    <col min="27" max="27" width="9.7109375" bestFit="1" customWidth="1"/>
    <col min="28" max="28" width="9.85546875" bestFit="1" customWidth="1"/>
  </cols>
  <sheetData>
    <row r="1" spans="1:28" x14ac:dyDescent="0.25">
      <c r="A1" t="s">
        <v>0</v>
      </c>
      <c r="B1" t="s">
        <v>36</v>
      </c>
      <c r="C1" t="s">
        <v>35</v>
      </c>
      <c r="D1" t="s">
        <v>34</v>
      </c>
      <c r="E1" t="s">
        <v>37</v>
      </c>
      <c r="F1" t="s">
        <v>1</v>
      </c>
      <c r="G1" t="s">
        <v>2</v>
      </c>
      <c r="H1" t="s">
        <v>3</v>
      </c>
      <c r="I1" t="s">
        <v>38</v>
      </c>
      <c r="J1" t="s">
        <v>39</v>
      </c>
      <c r="K1" t="s">
        <v>40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</row>
    <row r="2" spans="1:28" x14ac:dyDescent="0.25">
      <c r="A2" t="s">
        <v>21</v>
      </c>
      <c r="B2" t="s">
        <v>22</v>
      </c>
      <c r="F2" t="s">
        <v>23</v>
      </c>
      <c r="G2" t="s">
        <v>24</v>
      </c>
      <c r="H2" t="s">
        <v>25</v>
      </c>
      <c r="L2">
        <v>150000</v>
      </c>
      <c r="M2">
        <v>450000</v>
      </c>
      <c r="N2">
        <v>12</v>
      </c>
      <c r="O2" t="s">
        <v>26</v>
      </c>
      <c r="P2">
        <v>6</v>
      </c>
      <c r="Q2">
        <v>15.5</v>
      </c>
      <c r="R2">
        <v>600000</v>
      </c>
      <c r="S2" t="s">
        <v>27</v>
      </c>
      <c r="T2">
        <f>Q2/100</f>
        <v>0.155</v>
      </c>
      <c r="U2">
        <f>N2/12</f>
        <v>1</v>
      </c>
      <c r="V2">
        <f>M2*T2/12</f>
        <v>5812.5</v>
      </c>
      <c r="W2">
        <f>V2*N2</f>
        <v>69750</v>
      </c>
      <c r="X2">
        <f>M2+W2</f>
        <v>519750</v>
      </c>
      <c r="Y2">
        <f>IF(R2&lt;=300000,R2*0.01,IF(R2&lt;=1000000,3000+(R2-300000)*0.035,27500+(R2-1000000)*0.045))</f>
        <v>13500.000000000002</v>
      </c>
      <c r="Z2">
        <f>(1800+(M2*0.004))*1.1</f>
        <v>3960.0000000000005</v>
      </c>
      <c r="AA2" t="str">
        <f ca="1">Z2+AA2</f>
        <v/>
      </c>
      <c r="AB2" t="str">
        <f ca="1">Y2+AB2</f>
        <v/>
      </c>
    </row>
    <row r="3" spans="1:28" x14ac:dyDescent="0.25">
      <c r="A3" t="s">
        <v>28</v>
      </c>
      <c r="B3" t="s">
        <v>29</v>
      </c>
      <c r="F3" t="s">
        <v>30</v>
      </c>
      <c r="G3" t="s">
        <v>31</v>
      </c>
      <c r="H3" t="s">
        <v>32</v>
      </c>
      <c r="L3">
        <v>200000</v>
      </c>
      <c r="M3">
        <v>600000</v>
      </c>
      <c r="N3">
        <v>18</v>
      </c>
      <c r="O3" t="s">
        <v>33</v>
      </c>
      <c r="Q3">
        <v>16</v>
      </c>
      <c r="R3">
        <v>950000</v>
      </c>
      <c r="S3" t="s">
        <v>27</v>
      </c>
      <c r="T3">
        <f>Q3/100</f>
        <v>0.16</v>
      </c>
      <c r="U3">
        <f>N3/12</f>
        <v>1.5</v>
      </c>
      <c r="V3">
        <f>M3*T3/12</f>
        <v>8000</v>
      </c>
      <c r="W3">
        <f>V3*N3</f>
        <v>144000</v>
      </c>
      <c r="X3">
        <f>M3+W3</f>
        <v>744000</v>
      </c>
      <c r="Y3">
        <f>IF(R3&lt;=300000,R3*0.01,IF(R3&lt;=1000000,3000+(R3-300000)*0.035,27500+(R3-1000000)*0.045))</f>
        <v>25750.000000000004</v>
      </c>
      <c r="Z3">
        <f>(1800+(M3*0.004))*1.1</f>
        <v>4620</v>
      </c>
      <c r="AA3" t="str">
        <f ca="1">Z3+AA3</f>
        <v/>
      </c>
      <c r="AB3" t="str">
        <f ca="1">Y3+AB3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FlipFezo 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 Fitzsimmons</cp:lastModifiedBy>
  <dcterms:created xsi:type="dcterms:W3CDTF">2026-01-22T03:48:57Z</dcterms:created>
  <dcterms:modified xsi:type="dcterms:W3CDTF">2026-01-22T22:02:00Z</dcterms:modified>
</cp:coreProperties>
</file>