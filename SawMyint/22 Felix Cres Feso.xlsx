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licity's Folder\A Property and Investing\Information Memorandums\Reno Flip IM\"/>
    </mc:Choice>
  </mc:AlternateContent>
  <xr:revisionPtr revIDLastSave="0" documentId="13_ncr:1_{97696725-226C-4C5F-A2E7-2902854A61CF}" xr6:coauthVersionLast="47" xr6:coauthVersionMax="47" xr10:uidLastSave="{00000000-0000-0000-0000-000000000000}"/>
  <bookViews>
    <workbookView xWindow="-120" yWindow="-120" windowWidth="25440" windowHeight="15270" xr2:uid="{DE82BBF8-1E50-4BEC-9F1E-CF6870EF5536}"/>
  </bookViews>
  <sheets>
    <sheet name="Feasibility" sheetId="1" r:id="rId1"/>
    <sheet name="Reno 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6" i="2"/>
  <c r="C15" i="1"/>
  <c r="B15" i="1"/>
  <c r="B17" i="1" s="1"/>
</calcChain>
</file>

<file path=xl/sharedStrings.xml><?xml version="1.0" encoding="utf-8"?>
<sst xmlns="http://schemas.openxmlformats.org/spreadsheetml/2006/main" count="31" uniqueCount="31">
  <si>
    <t>Purchase Price</t>
  </si>
  <si>
    <t>Stamp Duty</t>
  </si>
  <si>
    <t>Legal &amp; Accounting Fees</t>
  </si>
  <si>
    <t>Renovations &amp; Minor Building Works</t>
  </si>
  <si>
    <t>Miscellaneous Costs</t>
  </si>
  <si>
    <t>Holding Costs</t>
  </si>
  <si>
    <t>Finance Costs</t>
  </si>
  <si>
    <t>Contingency</t>
  </si>
  <si>
    <t>Sales Commission &amp; Marketing</t>
  </si>
  <si>
    <t>GST using Margin Scheme (approx only)</t>
  </si>
  <si>
    <t>Expenses</t>
  </si>
  <si>
    <t>Income</t>
  </si>
  <si>
    <t>Sales</t>
  </si>
  <si>
    <t>TOTALS</t>
  </si>
  <si>
    <t>PROFIT</t>
  </si>
  <si>
    <t xml:space="preserve">Demo &amp; waste removal </t>
  </si>
  <si>
    <t>Garden &amp; landscape</t>
  </si>
  <si>
    <t xml:space="preserve">New side fence 50% </t>
  </si>
  <si>
    <t xml:space="preserve">Paint interior </t>
  </si>
  <si>
    <t>New flooring - carpet in 4 bedrooms, hybrid in rest</t>
  </si>
  <si>
    <t>Electrician - new lighting, etc</t>
  </si>
  <si>
    <t xml:space="preserve">New blinds </t>
  </si>
  <si>
    <t xml:space="preserve">New kitchen </t>
  </si>
  <si>
    <t xml:space="preserve">New bathroom /toilet </t>
  </si>
  <si>
    <t xml:space="preserve">New laundry </t>
  </si>
  <si>
    <t>Add kitchenette in 2nd dwelling</t>
  </si>
  <si>
    <t>Upgrade ducted heating and/or split systems</t>
  </si>
  <si>
    <t>Replace skirtings</t>
  </si>
  <si>
    <t>Refresh garage</t>
  </si>
  <si>
    <t>Convert Family room to bedroom with ensuite/WIR</t>
  </si>
  <si>
    <t>Add 10% 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</si>
</sst>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9" formatCode="&quot;$&quot;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26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9" fontId="2" fillId="0" borderId="0" xfId="0" applyNumberFormat="1" applyFont="1"/>
    <xf numFmtId="169" fontId="3" fillId="0" borderId="0" xfId="0" applyNumberFormat="1" applyFont="1"/>
    <xf numFmtId="6" fontId="2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Protection="1">
      <protection hidden="1"/>
    </xf>
    <xf numFmtId="6" fontId="5" fillId="0" borderId="0" xfId="1" applyNumberFormat="1" applyFont="1" applyProtection="1">
      <protection hidden="1"/>
    </xf>
    <xf numFmtId="0" fontId="6" fillId="0" borderId="0" xfId="0" applyFont="1" applyProtection="1">
      <protection hidden="1"/>
    </xf>
    <xf numFmtId="6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087E-C47C-469E-A4CA-18EC821B3B70}">
  <dimension ref="A1:C17"/>
  <sheetViews>
    <sheetView tabSelected="1" workbookViewId="0">
      <selection activeCell="E27" sqref="E27"/>
    </sheetView>
  </sheetViews>
  <sheetFormatPr defaultRowHeight="15" x14ac:dyDescent="0.2"/>
  <cols>
    <col min="1" max="1" width="51.42578125" style="1" bestFit="1" customWidth="1"/>
    <col min="2" max="2" width="21.140625" style="1" bestFit="1" customWidth="1"/>
    <col min="3" max="3" width="19.42578125" style="1" bestFit="1" customWidth="1"/>
    <col min="4" max="16384" width="9.140625" style="1"/>
  </cols>
  <sheetData>
    <row r="1" spans="1:3" ht="15.75" x14ac:dyDescent="0.25">
      <c r="B1" s="6" t="s">
        <v>10</v>
      </c>
      <c r="C1" s="6" t="s">
        <v>11</v>
      </c>
    </row>
    <row r="3" spans="1:3" x14ac:dyDescent="0.2">
      <c r="A3" s="7" t="s">
        <v>0</v>
      </c>
      <c r="B3" s="8">
        <v>-1100000</v>
      </c>
      <c r="C3" s="4"/>
    </row>
    <row r="4" spans="1:3" x14ac:dyDescent="0.2">
      <c r="A4" s="7" t="s">
        <v>1</v>
      </c>
      <c r="B4" s="8">
        <v>-60500</v>
      </c>
      <c r="C4" s="4"/>
    </row>
    <row r="5" spans="1:3" x14ac:dyDescent="0.2">
      <c r="A5" s="7" t="s">
        <v>2</v>
      </c>
      <c r="B5" s="8">
        <v>-5800</v>
      </c>
      <c r="C5" s="4"/>
    </row>
    <row r="6" spans="1:3" x14ac:dyDescent="0.2">
      <c r="A6" s="7" t="s">
        <v>3</v>
      </c>
      <c r="B6" s="8">
        <v>-145000</v>
      </c>
      <c r="C6" s="4"/>
    </row>
    <row r="7" spans="1:3" x14ac:dyDescent="0.2">
      <c r="A7" s="7" t="s">
        <v>4</v>
      </c>
      <c r="B7" s="8">
        <v>-2700</v>
      </c>
      <c r="C7" s="4"/>
    </row>
    <row r="8" spans="1:3" x14ac:dyDescent="0.2">
      <c r="A8" s="7" t="s">
        <v>5</v>
      </c>
      <c r="B8" s="8">
        <v>-2900</v>
      </c>
      <c r="C8" s="4"/>
    </row>
    <row r="9" spans="1:3" x14ac:dyDescent="0.2">
      <c r="A9" s="7" t="s">
        <v>6</v>
      </c>
      <c r="B9" s="8">
        <v>-72270</v>
      </c>
      <c r="C9" s="4"/>
    </row>
    <row r="10" spans="1:3" x14ac:dyDescent="0.2">
      <c r="A10" s="7" t="s">
        <v>7</v>
      </c>
      <c r="B10" s="8">
        <v>-15000</v>
      </c>
      <c r="C10" s="4"/>
    </row>
    <row r="11" spans="1:3" x14ac:dyDescent="0.2">
      <c r="A11" s="7" t="s">
        <v>8</v>
      </c>
      <c r="B11" s="8">
        <v>-35200</v>
      </c>
      <c r="C11" s="4"/>
    </row>
    <row r="12" spans="1:3" x14ac:dyDescent="0.2">
      <c r="A12" s="7" t="s">
        <v>9</v>
      </c>
      <c r="B12" s="8">
        <v>14218.18181818182</v>
      </c>
      <c r="C12" s="4"/>
    </row>
    <row r="13" spans="1:3" x14ac:dyDescent="0.2">
      <c r="A13" s="7" t="s">
        <v>12</v>
      </c>
      <c r="B13" s="4"/>
      <c r="C13" s="8">
        <v>1600000</v>
      </c>
    </row>
    <row r="14" spans="1:3" x14ac:dyDescent="0.2">
      <c r="B14" s="4"/>
      <c r="C14" s="4"/>
    </row>
    <row r="15" spans="1:3" x14ac:dyDescent="0.2">
      <c r="A15" s="7" t="s">
        <v>13</v>
      </c>
      <c r="B15" s="4">
        <f>SUM(B3:B14)</f>
        <v>-1425151.8181818181</v>
      </c>
      <c r="C15" s="4">
        <f>SUM(C13:C14)</f>
        <v>1600000</v>
      </c>
    </row>
    <row r="16" spans="1:3" x14ac:dyDescent="0.2">
      <c r="B16" s="4"/>
      <c r="C16" s="4"/>
    </row>
    <row r="17" spans="1:3" ht="15.75" x14ac:dyDescent="0.25">
      <c r="A17" s="9" t="s">
        <v>14</v>
      </c>
      <c r="B17" s="10">
        <f>B15+C15</f>
        <v>174848.18181818188</v>
      </c>
      <c r="C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B57C-B0FE-41AF-9B7A-F556D5059D94}">
  <dimension ref="A1:B21"/>
  <sheetViews>
    <sheetView workbookViewId="0">
      <selection activeCell="A16" sqref="A16"/>
    </sheetView>
  </sheetViews>
  <sheetFormatPr defaultRowHeight="15" x14ac:dyDescent="0.2"/>
  <cols>
    <col min="1" max="1" width="76.42578125" style="1" bestFit="1" customWidth="1"/>
    <col min="2" max="2" width="10.85546875" style="2" bestFit="1" customWidth="1"/>
    <col min="3" max="16384" width="9.140625" style="1"/>
  </cols>
  <sheetData>
    <row r="1" spans="1:2" x14ac:dyDescent="0.2">
      <c r="A1" s="1" t="s">
        <v>15</v>
      </c>
      <c r="B1" s="2">
        <v>7000</v>
      </c>
    </row>
    <row r="2" spans="1:2" x14ac:dyDescent="0.2">
      <c r="A2" s="1" t="s">
        <v>16</v>
      </c>
      <c r="B2" s="2">
        <v>8000</v>
      </c>
    </row>
    <row r="3" spans="1:2" x14ac:dyDescent="0.2">
      <c r="A3" s="1" t="s">
        <v>17</v>
      </c>
      <c r="B3" s="2">
        <v>3000</v>
      </c>
    </row>
    <row r="4" spans="1:2" x14ac:dyDescent="0.2">
      <c r="A4" s="1" t="s">
        <v>18</v>
      </c>
      <c r="B4" s="2">
        <v>9000</v>
      </c>
    </row>
    <row r="5" spans="1:2" x14ac:dyDescent="0.2">
      <c r="A5" s="1" t="s">
        <v>19</v>
      </c>
      <c r="B5" s="2">
        <v>14000</v>
      </c>
    </row>
    <row r="6" spans="1:2" x14ac:dyDescent="0.2">
      <c r="A6" s="1" t="s">
        <v>20</v>
      </c>
      <c r="B6" s="2">
        <v>4000</v>
      </c>
    </row>
    <row r="7" spans="1:2" x14ac:dyDescent="0.2">
      <c r="A7" s="1" t="s">
        <v>21</v>
      </c>
      <c r="B7" s="2">
        <v>4000</v>
      </c>
    </row>
    <row r="8" spans="1:2" x14ac:dyDescent="0.2">
      <c r="A8" s="1" t="s">
        <v>22</v>
      </c>
      <c r="B8" s="2">
        <v>18000</v>
      </c>
    </row>
    <row r="9" spans="1:2" x14ac:dyDescent="0.2">
      <c r="A9" s="1" t="s">
        <v>24</v>
      </c>
      <c r="B9" s="2">
        <v>5000</v>
      </c>
    </row>
    <row r="10" spans="1:2" x14ac:dyDescent="0.2">
      <c r="A10" s="1" t="s">
        <v>23</v>
      </c>
      <c r="B10" s="2">
        <v>16000</v>
      </c>
    </row>
    <row r="11" spans="1:2" x14ac:dyDescent="0.2">
      <c r="A11" s="1" t="s">
        <v>25</v>
      </c>
      <c r="B11" s="2">
        <v>5000</v>
      </c>
    </row>
    <row r="12" spans="1:2" x14ac:dyDescent="0.2">
      <c r="A12" s="1" t="s">
        <v>26</v>
      </c>
      <c r="B12" s="2">
        <v>12000</v>
      </c>
    </row>
    <row r="13" spans="1:2" x14ac:dyDescent="0.2">
      <c r="A13" s="1" t="s">
        <v>27</v>
      </c>
      <c r="B13" s="2">
        <v>2000</v>
      </c>
    </row>
    <row r="14" spans="1:2" x14ac:dyDescent="0.2">
      <c r="A14" s="1" t="s">
        <v>28</v>
      </c>
      <c r="B14" s="2">
        <v>3000</v>
      </c>
    </row>
    <row r="15" spans="1:2" x14ac:dyDescent="0.2">
      <c r="A15" s="1" t="s">
        <v>29</v>
      </c>
      <c r="B15" s="2">
        <v>22000</v>
      </c>
    </row>
    <row r="16" spans="1:2" ht="15.75" x14ac:dyDescent="0.25">
      <c r="B16" s="3">
        <f>SUM(B1:B15)</f>
        <v>132000</v>
      </c>
    </row>
    <row r="18" spans="1:2" x14ac:dyDescent="0.2">
      <c r="A18" s="1" t="s">
        <v>30</v>
      </c>
      <c r="B18" s="2">
        <v>13200</v>
      </c>
    </row>
    <row r="19" spans="1:2" ht="15.75" x14ac:dyDescent="0.25">
      <c r="A19" s="4"/>
      <c r="B19" s="3">
        <f>SUM(B16:B18)</f>
        <v>145200</v>
      </c>
    </row>
    <row r="21" spans="1:2" x14ac:dyDescent="0.2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Feasibility</vt:lpstr>
      <vt:lpstr>Reno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Walker</dc:creator>
  <cp:lastModifiedBy>Felicity Walker</cp:lastModifiedBy>
  <dcterms:created xsi:type="dcterms:W3CDTF">2026-01-08T04:59:25Z</dcterms:created>
  <dcterms:modified xsi:type="dcterms:W3CDTF">2026-01-08T05:10:39Z</dcterms:modified>
</cp:coreProperties>
</file>